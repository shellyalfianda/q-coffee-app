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Florentino\Desktop\skripsi shelly\"/>
    </mc:Choice>
  </mc:AlternateContent>
  <xr:revisionPtr revIDLastSave="0" documentId="13_ncr:1_{4F3C10C9-953B-41F0-8571-D41A3A163490}" xr6:coauthVersionLast="47" xr6:coauthVersionMax="47" xr10:uidLastSave="{00000000-0000-0000-0000-000000000000}"/>
  <bookViews>
    <workbookView xWindow="-108" yWindow="-108" windowWidth="23256" windowHeight="13176" xr2:uid="{D9E6F645-AB8E-4EC5-A6C4-DADE2E91F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1" l="1"/>
  <c r="H45" i="1"/>
  <c r="H44" i="1"/>
  <c r="H43" i="1"/>
  <c r="H42" i="1"/>
  <c r="H41" i="1"/>
  <c r="G41" i="1"/>
  <c r="H40" i="1"/>
  <c r="H39" i="1"/>
  <c r="H38" i="1"/>
  <c r="H37" i="1"/>
  <c r="H36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5" i="1"/>
</calcChain>
</file>

<file path=xl/sharedStrings.xml><?xml version="1.0" encoding="utf-8"?>
<sst xmlns="http://schemas.openxmlformats.org/spreadsheetml/2006/main" count="149" uniqueCount="74">
  <si>
    <t>C</t>
  </si>
  <si>
    <t>NAMA BAHAN</t>
  </si>
  <si>
    <t>TANGGAL PEMBELIAN</t>
  </si>
  <si>
    <t>JUMLAH/pack</t>
  </si>
  <si>
    <t>SATUAN</t>
  </si>
  <si>
    <t>JUMLAH</t>
  </si>
  <si>
    <t>Durian</t>
  </si>
  <si>
    <t>GR</t>
  </si>
  <si>
    <t>Alpukat</t>
  </si>
  <si>
    <t>Kopi Arabica Robusta Blend Arara</t>
  </si>
  <si>
    <t>Kopi Robusta Jawa Arara</t>
  </si>
  <si>
    <t>Sirup Rasa Stroberi (Strawberry) Jardin</t>
  </si>
  <si>
    <t>ML</t>
  </si>
  <si>
    <t>Sirup Rasa Apel Hijau (Green Apple) Jardin</t>
  </si>
  <si>
    <t>Sirup Rasa Pandan Jardin</t>
  </si>
  <si>
    <t>Sirup Rasa Mojito Mint Jardin</t>
  </si>
  <si>
    <t>Sirup Rasa Vanilla Jardin</t>
  </si>
  <si>
    <t>Sirup Rasa Karamel Asin (Salted Caramel) Jardin</t>
  </si>
  <si>
    <t>Sirup Rasa Hazelnut Jardin</t>
  </si>
  <si>
    <t>Sirup Rasa Leci (Lychee) Jardin</t>
  </si>
  <si>
    <t>Sirup Rasa Roun Denali</t>
  </si>
  <si>
    <t>SIRUP JARDIN BLUE PARADISE</t>
  </si>
  <si>
    <t>SIRUP JARDIN HONEY CANDY</t>
  </si>
  <si>
    <t>SIRUP JARDIN LYCHEE</t>
  </si>
  <si>
    <t>SIRUP JARDIN VANILLA</t>
  </si>
  <si>
    <t>SIRUP JARDIN HAZELNUT</t>
  </si>
  <si>
    <t>SIRUP JARDIN STRAWBERRY</t>
  </si>
  <si>
    <t>SIRUP JARDIN GREEN APPLE</t>
  </si>
  <si>
    <t>Taro Powder</t>
  </si>
  <si>
    <t>Green Tea Latte</t>
  </si>
  <si>
    <t>chocolate macadamia powder</t>
  </si>
  <si>
    <t>OUT STOK</t>
  </si>
  <si>
    <t>Cheese Foam Topping</t>
  </si>
  <si>
    <t>Milk Tea Powder</t>
  </si>
  <si>
    <t>LE CONCENTRE DE MONIN LEMONADE CONCENTRATE</t>
  </si>
  <si>
    <t>Pop Corn Syrup</t>
  </si>
  <si>
    <t>LE SIROP DE MONIN TOASTED ALMOND SYRUP</t>
  </si>
  <si>
    <t>Tapioca Pearl Original</t>
  </si>
  <si>
    <t>Brown Sugar Syrup</t>
  </si>
  <si>
    <t>Lychee Coating Juice</t>
  </si>
  <si>
    <t>Groovy Zoda Air Soda</t>
  </si>
  <si>
    <t>Gula Merah / Gula Aren ( Brown Sugar )</t>
  </si>
  <si>
    <t>Gula / Gula Kristal Putih ( sugar )</t>
  </si>
  <si>
    <t>Pemanis Buatan ( Sweetener )</t>
  </si>
  <si>
    <t>Archi Blacktea Teabag (Teh Hitam Celup)</t>
  </si>
  <si>
    <t>PCS</t>
  </si>
  <si>
    <t>TEH JAWA OOLONG 63</t>
  </si>
  <si>
    <t>OSMANTHUS 63</t>
  </si>
  <si>
    <t>ROSELLA 63</t>
  </si>
  <si>
    <t>PREMIUM GREEN TEA JASMINE 63</t>
  </si>
  <si>
    <t>CHAMOMILE 63</t>
  </si>
  <si>
    <t>DIAMOND - Es Krim Rasa Vanila</t>
  </si>
  <si>
    <t>DIAMOND - Chocolate Coating Ice Cream</t>
  </si>
  <si>
    <t>DIAMOND - Es Krim Rasa Durian (Soft Ice Cream Durian)</t>
  </si>
  <si>
    <t>Golden Farm Kentang Goreng Beku (Potato Nuggets)</t>
  </si>
  <si>
    <t>DIAMOND - Susu Pasteurisasi (Fresh Milk)</t>
  </si>
  <si>
    <t>COOLFRESH (ES BATU BENTUK KRISTAL)</t>
  </si>
  <si>
    <t>Collins Dip Glaze Tiramisu</t>
  </si>
  <si>
    <t>Collins Dip Glaze Strawberry</t>
  </si>
  <si>
    <t>Collins Dip Glaze Milk Chocolate</t>
  </si>
  <si>
    <t>Collins Dip Glaze Taro</t>
  </si>
  <si>
    <t>Collins Dip Glaze Milk</t>
  </si>
  <si>
    <t>Collins Dip Glaze Cappucino</t>
  </si>
  <si>
    <t>Collins Dip Glaze Green Tea</t>
  </si>
  <si>
    <t>Collins Dip Glaze Cheese</t>
  </si>
  <si>
    <t>Gelas Kertas</t>
  </si>
  <si>
    <t>Gelas Minuman Reguler, Large</t>
  </si>
  <si>
    <t>Sunlight Cairan Pencuci Piring</t>
  </si>
  <si>
    <t>Air merk Club</t>
  </si>
  <si>
    <t>CARNATION</t>
  </si>
  <si>
    <t>SUSU KENTAL MANIS FISHIAN FLAG COKLAT</t>
  </si>
  <si>
    <t>Total Stok Ml/Gr</t>
  </si>
  <si>
    <t>STOK JULI 22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</si>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</sst>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Rp-3809]* #,##0.00_-;\-[$Rp-3809]* #,##0.00_-;_-[$Rp-3809]* &quot;-&quot;??_-;_-@_-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0" fontId="3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64" fontId="0" fillId="0" borderId="0" xfId="1" applyNumberFormat="1" applyFont="1"/>
    <xf numFmtId="164" fontId="2" fillId="0" borderId="2" xfId="1" applyNumberFormat="1" applyFont="1" applyFill="1" applyBorder="1" applyAlignment="1">
      <alignment horizontal="center"/>
    </xf>
    <xf numFmtId="164" fontId="0" fillId="0" borderId="2" xfId="1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32F4-35F0-4A91-A1D5-56BA01A09952}">
  <dimension ref="A1:I65"/>
  <sheetViews>
    <sheetView tabSelected="1" topLeftCell="A57" workbookViewId="0">
      <selection activeCell="K78" sqref="K78"/>
    </sheetView>
  </sheetViews>
  <sheetFormatPr defaultRowHeight="14.4" x14ac:dyDescent="0.3"/>
  <cols>
    <col min="2" max="2" width="47.33203125" bestFit="1" customWidth="1"/>
    <col min="3" max="3" width="19.77734375" bestFit="1" customWidth="1"/>
    <col min="4" max="4" width="13.109375" bestFit="1" customWidth="1"/>
    <col min="7" max="7" width="15" bestFit="1" customWidth="1"/>
    <col min="8" max="8" width="15.109375" style="11" bestFit="1" customWidth="1"/>
  </cols>
  <sheetData>
    <row r="1" spans="1:9" x14ac:dyDescent="0.3">
      <c r="A1" s="7" t="s">
        <v>72</v>
      </c>
      <c r="B1" s="8"/>
      <c r="C1" s="8"/>
      <c r="D1" s="8"/>
      <c r="E1" s="8"/>
      <c r="F1" s="8"/>
    </row>
    <row r="2" spans="1:9" x14ac:dyDescent="0.3">
      <c r="A2" s="8"/>
      <c r="B2" s="8"/>
      <c r="C2" s="8"/>
      <c r="D2" s="8"/>
      <c r="E2" s="8"/>
      <c r="F2" s="8"/>
    </row>
    <row r="3" spans="1:9" x14ac:dyDescent="0.3">
      <c r="A3" s="9"/>
      <c r="B3" s="9"/>
      <c r="C3" s="9"/>
      <c r="D3" s="9"/>
      <c r="E3" s="9"/>
      <c r="F3" s="9"/>
    </row>
    <row r="4" spans="1:9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71</v>
      </c>
      <c r="H4" s="12" t="s">
        <v>73</v>
      </c>
      <c r="I4" s="10"/>
    </row>
    <row r="5" spans="1:9" x14ac:dyDescent="0.3">
      <c r="A5" s="3">
        <v>1</v>
      </c>
      <c r="B5" s="4" t="s">
        <v>6</v>
      </c>
      <c r="C5" s="5" t="s">
        <v>31</v>
      </c>
      <c r="D5" s="4">
        <v>1000</v>
      </c>
      <c r="E5" s="6" t="s">
        <v>7</v>
      </c>
      <c r="F5" s="4">
        <v>0</v>
      </c>
      <c r="G5" s="4">
        <f>F5*D5</f>
        <v>0</v>
      </c>
      <c r="H5" s="13">
        <v>100000</v>
      </c>
    </row>
    <row r="6" spans="1:9" x14ac:dyDescent="0.3">
      <c r="A6" s="3">
        <v>2</v>
      </c>
      <c r="B6" s="4" t="s">
        <v>8</v>
      </c>
      <c r="C6" s="5" t="s">
        <v>31</v>
      </c>
      <c r="D6" s="4">
        <v>1000</v>
      </c>
      <c r="E6" s="6" t="s">
        <v>7</v>
      </c>
      <c r="F6" s="4">
        <v>0</v>
      </c>
      <c r="G6" s="4">
        <f t="shared" ref="G6:G65" si="0">F6*D6</f>
        <v>0</v>
      </c>
      <c r="H6" s="13">
        <v>45000</v>
      </c>
    </row>
    <row r="7" spans="1:9" x14ac:dyDescent="0.3">
      <c r="A7" s="3">
        <v>3</v>
      </c>
      <c r="B7" s="4" t="s">
        <v>9</v>
      </c>
      <c r="C7" s="5">
        <v>44752</v>
      </c>
      <c r="D7" s="4">
        <v>1000</v>
      </c>
      <c r="E7" s="6" t="s">
        <v>7</v>
      </c>
      <c r="F7" s="4">
        <v>6</v>
      </c>
      <c r="G7" s="4">
        <f t="shared" si="0"/>
        <v>6000</v>
      </c>
      <c r="H7" s="13">
        <v>330000</v>
      </c>
    </row>
    <row r="8" spans="1:9" x14ac:dyDescent="0.3">
      <c r="A8" s="3">
        <v>4</v>
      </c>
      <c r="B8" s="4" t="s">
        <v>10</v>
      </c>
      <c r="C8" s="5">
        <v>44752</v>
      </c>
      <c r="D8" s="4">
        <v>1000</v>
      </c>
      <c r="E8" s="6" t="s">
        <v>7</v>
      </c>
      <c r="F8" s="4">
        <v>10</v>
      </c>
      <c r="G8" s="4">
        <f t="shared" si="0"/>
        <v>10000</v>
      </c>
      <c r="H8" s="13">
        <v>170000</v>
      </c>
    </row>
    <row r="9" spans="1:9" x14ac:dyDescent="0.3">
      <c r="A9" s="3">
        <v>5</v>
      </c>
      <c r="B9" s="4" t="s">
        <v>11</v>
      </c>
      <c r="C9" s="5">
        <v>44752</v>
      </c>
      <c r="D9" s="4">
        <v>750</v>
      </c>
      <c r="E9" s="6" t="s">
        <v>12</v>
      </c>
      <c r="F9" s="4">
        <v>5</v>
      </c>
      <c r="G9" s="4">
        <f t="shared" si="0"/>
        <v>3750</v>
      </c>
      <c r="H9" s="13">
        <v>110000</v>
      </c>
    </row>
    <row r="10" spans="1:9" x14ac:dyDescent="0.3">
      <c r="A10" s="3">
        <v>6</v>
      </c>
      <c r="B10" s="4" t="s">
        <v>13</v>
      </c>
      <c r="C10" s="5">
        <v>44752</v>
      </c>
      <c r="D10" s="4">
        <v>750</v>
      </c>
      <c r="E10" s="6" t="s">
        <v>12</v>
      </c>
      <c r="F10" s="4">
        <v>5</v>
      </c>
      <c r="G10" s="4">
        <f t="shared" si="0"/>
        <v>3750</v>
      </c>
      <c r="H10" s="13">
        <v>110000</v>
      </c>
    </row>
    <row r="11" spans="1:9" x14ac:dyDescent="0.3">
      <c r="A11" s="3">
        <v>7</v>
      </c>
      <c r="B11" s="4" t="s">
        <v>14</v>
      </c>
      <c r="C11" s="5">
        <v>44752</v>
      </c>
      <c r="D11" s="4">
        <v>750</v>
      </c>
      <c r="E11" s="6" t="s">
        <v>12</v>
      </c>
      <c r="F11" s="4">
        <v>5</v>
      </c>
      <c r="G11" s="4">
        <f t="shared" si="0"/>
        <v>3750</v>
      </c>
      <c r="H11" s="13">
        <v>110000</v>
      </c>
    </row>
    <row r="12" spans="1:9" x14ac:dyDescent="0.3">
      <c r="A12" s="3">
        <v>8</v>
      </c>
      <c r="B12" s="4" t="s">
        <v>15</v>
      </c>
      <c r="C12" s="5">
        <v>44752</v>
      </c>
      <c r="D12" s="4">
        <v>750</v>
      </c>
      <c r="E12" s="6" t="s">
        <v>12</v>
      </c>
      <c r="F12" s="4">
        <v>5</v>
      </c>
      <c r="G12" s="4">
        <f t="shared" si="0"/>
        <v>3750</v>
      </c>
      <c r="H12" s="13">
        <v>110000</v>
      </c>
    </row>
    <row r="13" spans="1:9" x14ac:dyDescent="0.3">
      <c r="A13" s="3">
        <v>9</v>
      </c>
      <c r="B13" s="4" t="s">
        <v>16</v>
      </c>
      <c r="C13" s="5">
        <v>44752</v>
      </c>
      <c r="D13" s="4">
        <v>750</v>
      </c>
      <c r="E13" s="6" t="s">
        <v>12</v>
      </c>
      <c r="F13" s="4">
        <v>5</v>
      </c>
      <c r="G13" s="4">
        <f t="shared" si="0"/>
        <v>3750</v>
      </c>
      <c r="H13" s="13">
        <v>110000</v>
      </c>
    </row>
    <row r="14" spans="1:9" x14ac:dyDescent="0.3">
      <c r="A14" s="3">
        <v>10</v>
      </c>
      <c r="B14" s="4" t="s">
        <v>17</v>
      </c>
      <c r="C14" s="5">
        <v>44752</v>
      </c>
      <c r="D14" s="4">
        <v>750</v>
      </c>
      <c r="E14" s="6" t="s">
        <v>12</v>
      </c>
      <c r="F14" s="4">
        <v>5</v>
      </c>
      <c r="G14" s="4">
        <f t="shared" si="0"/>
        <v>3750</v>
      </c>
      <c r="H14" s="13">
        <v>110000</v>
      </c>
    </row>
    <row r="15" spans="1:9" x14ac:dyDescent="0.3">
      <c r="A15" s="3">
        <v>11</v>
      </c>
      <c r="B15" s="4" t="s">
        <v>18</v>
      </c>
      <c r="C15" s="5">
        <v>44752</v>
      </c>
      <c r="D15" s="4">
        <v>750</v>
      </c>
      <c r="E15" s="6" t="s">
        <v>12</v>
      </c>
      <c r="F15" s="4">
        <v>5</v>
      </c>
      <c r="G15" s="4">
        <f t="shared" si="0"/>
        <v>3750</v>
      </c>
      <c r="H15" s="13">
        <v>110000</v>
      </c>
    </row>
    <row r="16" spans="1:9" x14ac:dyDescent="0.3">
      <c r="A16" s="3">
        <v>12</v>
      </c>
      <c r="B16" s="4" t="s">
        <v>19</v>
      </c>
      <c r="C16" s="5">
        <v>44752</v>
      </c>
      <c r="D16" s="4">
        <v>750</v>
      </c>
      <c r="E16" s="6" t="s">
        <v>12</v>
      </c>
      <c r="F16" s="4">
        <v>5</v>
      </c>
      <c r="G16" s="4">
        <f t="shared" si="0"/>
        <v>3750</v>
      </c>
      <c r="H16" s="13">
        <v>110000</v>
      </c>
    </row>
    <row r="17" spans="1:8" x14ac:dyDescent="0.3">
      <c r="A17" s="3">
        <v>13</v>
      </c>
      <c r="B17" s="4" t="s">
        <v>20</v>
      </c>
      <c r="C17" s="5">
        <v>44752</v>
      </c>
      <c r="D17" s="4">
        <v>750</v>
      </c>
      <c r="E17" s="6" t="s">
        <v>12</v>
      </c>
      <c r="F17" s="4">
        <v>5</v>
      </c>
      <c r="G17" s="4">
        <f t="shared" si="0"/>
        <v>3750</v>
      </c>
      <c r="H17" s="13">
        <v>110000</v>
      </c>
    </row>
    <row r="18" spans="1:8" x14ac:dyDescent="0.3">
      <c r="A18" s="3">
        <v>14</v>
      </c>
      <c r="B18" s="4" t="s">
        <v>21</v>
      </c>
      <c r="C18" s="5">
        <v>44752</v>
      </c>
      <c r="D18" s="4">
        <v>750</v>
      </c>
      <c r="E18" s="6" t="s">
        <v>12</v>
      </c>
      <c r="F18" s="4">
        <v>5</v>
      </c>
      <c r="G18" s="4">
        <f t="shared" si="0"/>
        <v>3750</v>
      </c>
      <c r="H18" s="13">
        <v>110000</v>
      </c>
    </row>
    <row r="19" spans="1:8" x14ac:dyDescent="0.3">
      <c r="A19" s="3">
        <v>15</v>
      </c>
      <c r="B19" s="4" t="s">
        <v>22</v>
      </c>
      <c r="C19" s="5">
        <v>44752</v>
      </c>
      <c r="D19" s="4">
        <v>750</v>
      </c>
      <c r="E19" s="6" t="s">
        <v>12</v>
      </c>
      <c r="F19" s="4">
        <v>5</v>
      </c>
      <c r="G19" s="4">
        <f t="shared" si="0"/>
        <v>3750</v>
      </c>
      <c r="H19" s="13">
        <v>110000</v>
      </c>
    </row>
    <row r="20" spans="1:8" x14ac:dyDescent="0.3">
      <c r="A20" s="3">
        <v>16</v>
      </c>
      <c r="B20" s="4" t="s">
        <v>23</v>
      </c>
      <c r="C20" s="5">
        <v>44752</v>
      </c>
      <c r="D20" s="4">
        <v>750</v>
      </c>
      <c r="E20" s="6" t="s">
        <v>12</v>
      </c>
      <c r="F20" s="4">
        <v>5</v>
      </c>
      <c r="G20" s="4">
        <f t="shared" si="0"/>
        <v>3750</v>
      </c>
      <c r="H20" s="13">
        <v>110000</v>
      </c>
    </row>
    <row r="21" spans="1:8" x14ac:dyDescent="0.3">
      <c r="A21" s="3">
        <v>17</v>
      </c>
      <c r="B21" s="4" t="s">
        <v>24</v>
      </c>
      <c r="C21" s="5">
        <v>44752</v>
      </c>
      <c r="D21" s="4">
        <v>750</v>
      </c>
      <c r="E21" s="6" t="s">
        <v>12</v>
      </c>
      <c r="F21" s="4">
        <v>5</v>
      </c>
      <c r="G21" s="4">
        <f t="shared" si="0"/>
        <v>3750</v>
      </c>
      <c r="H21" s="13">
        <v>110000</v>
      </c>
    </row>
    <row r="22" spans="1:8" x14ac:dyDescent="0.3">
      <c r="A22" s="3">
        <v>18</v>
      </c>
      <c r="B22" s="4" t="s">
        <v>25</v>
      </c>
      <c r="C22" s="5">
        <v>44752</v>
      </c>
      <c r="D22" s="4">
        <v>750</v>
      </c>
      <c r="E22" s="6" t="s">
        <v>12</v>
      </c>
      <c r="F22" s="4">
        <v>5</v>
      </c>
      <c r="G22" s="4">
        <f t="shared" si="0"/>
        <v>3750</v>
      </c>
      <c r="H22" s="13">
        <v>110000</v>
      </c>
    </row>
    <row r="23" spans="1:8" x14ac:dyDescent="0.3">
      <c r="A23" s="3">
        <v>19</v>
      </c>
      <c r="B23" s="4" t="s">
        <v>26</v>
      </c>
      <c r="C23" s="5">
        <v>44752</v>
      </c>
      <c r="D23" s="4">
        <v>750</v>
      </c>
      <c r="E23" s="6" t="s">
        <v>12</v>
      </c>
      <c r="F23" s="4">
        <v>5</v>
      </c>
      <c r="G23" s="4">
        <f t="shared" si="0"/>
        <v>3750</v>
      </c>
      <c r="H23" s="13">
        <v>130000</v>
      </c>
    </row>
    <row r="24" spans="1:8" x14ac:dyDescent="0.3">
      <c r="A24" s="3">
        <v>20</v>
      </c>
      <c r="B24" s="4" t="s">
        <v>27</v>
      </c>
      <c r="C24" s="5">
        <v>44752</v>
      </c>
      <c r="D24" s="4">
        <v>750</v>
      </c>
      <c r="E24" s="6" t="s">
        <v>12</v>
      </c>
      <c r="F24" s="4">
        <v>5</v>
      </c>
      <c r="G24" s="4">
        <f t="shared" si="0"/>
        <v>3750</v>
      </c>
      <c r="H24" s="13">
        <v>130000</v>
      </c>
    </row>
    <row r="25" spans="1:8" x14ac:dyDescent="0.3">
      <c r="A25" s="3">
        <v>21</v>
      </c>
      <c r="B25" s="4" t="s">
        <v>28</v>
      </c>
      <c r="C25" s="5">
        <v>44752</v>
      </c>
      <c r="D25" s="4">
        <v>1000</v>
      </c>
      <c r="E25" s="6" t="s">
        <v>7</v>
      </c>
      <c r="F25" s="4">
        <v>5</v>
      </c>
      <c r="G25" s="4">
        <f t="shared" si="0"/>
        <v>5000</v>
      </c>
      <c r="H25" s="13">
        <v>172000</v>
      </c>
    </row>
    <row r="26" spans="1:8" x14ac:dyDescent="0.3">
      <c r="A26" s="3">
        <v>22</v>
      </c>
      <c r="B26" s="4" t="s">
        <v>29</v>
      </c>
      <c r="C26" s="5">
        <v>44752</v>
      </c>
      <c r="D26" s="4">
        <v>1000</v>
      </c>
      <c r="E26" s="6" t="s">
        <v>7</v>
      </c>
      <c r="F26" s="4">
        <v>5</v>
      </c>
      <c r="G26" s="4">
        <f t="shared" si="0"/>
        <v>5000</v>
      </c>
      <c r="H26" s="13">
        <v>172000</v>
      </c>
    </row>
    <row r="27" spans="1:8" x14ac:dyDescent="0.3">
      <c r="A27" s="3">
        <v>23</v>
      </c>
      <c r="B27" s="4" t="s">
        <v>30</v>
      </c>
      <c r="C27" s="5">
        <v>44752</v>
      </c>
      <c r="D27" s="4">
        <v>1000</v>
      </c>
      <c r="E27" s="6" t="s">
        <v>7</v>
      </c>
      <c r="F27" s="4">
        <v>5</v>
      </c>
      <c r="G27" s="4">
        <f t="shared" si="0"/>
        <v>5000</v>
      </c>
      <c r="H27" s="13">
        <v>172000</v>
      </c>
    </row>
    <row r="28" spans="1:8" x14ac:dyDescent="0.3">
      <c r="A28" s="3">
        <v>24</v>
      </c>
      <c r="B28" s="4" t="s">
        <v>32</v>
      </c>
      <c r="C28" s="5">
        <v>44752</v>
      </c>
      <c r="D28" s="4">
        <v>1000</v>
      </c>
      <c r="E28" s="6" t="s">
        <v>7</v>
      </c>
      <c r="F28" s="4">
        <v>3</v>
      </c>
      <c r="G28" s="4">
        <f t="shared" si="0"/>
        <v>3000</v>
      </c>
      <c r="H28" s="13">
        <v>172000</v>
      </c>
    </row>
    <row r="29" spans="1:8" x14ac:dyDescent="0.3">
      <c r="A29" s="3">
        <v>25</v>
      </c>
      <c r="B29" s="4" t="s">
        <v>33</v>
      </c>
      <c r="C29" s="5">
        <v>44752</v>
      </c>
      <c r="D29" s="4">
        <v>1000</v>
      </c>
      <c r="E29" s="6" t="s">
        <v>7</v>
      </c>
      <c r="F29" s="4">
        <v>3</v>
      </c>
      <c r="G29" s="4">
        <f t="shared" si="0"/>
        <v>3000</v>
      </c>
      <c r="H29" s="13">
        <v>177000</v>
      </c>
    </row>
    <row r="30" spans="1:8" x14ac:dyDescent="0.3">
      <c r="A30" s="3">
        <v>26</v>
      </c>
      <c r="B30" s="4" t="s">
        <v>34</v>
      </c>
      <c r="C30" s="5">
        <v>44752</v>
      </c>
      <c r="D30" s="4">
        <v>750</v>
      </c>
      <c r="E30" s="6" t="s">
        <v>12</v>
      </c>
      <c r="F30" s="4">
        <v>5</v>
      </c>
      <c r="G30" s="4">
        <f t="shared" si="0"/>
        <v>3750</v>
      </c>
      <c r="H30" s="13">
        <v>110000</v>
      </c>
    </row>
    <row r="31" spans="1:8" x14ac:dyDescent="0.3">
      <c r="A31" s="3">
        <v>27</v>
      </c>
      <c r="B31" s="4" t="s">
        <v>35</v>
      </c>
      <c r="C31" s="5">
        <v>44752</v>
      </c>
      <c r="D31" s="4">
        <v>750</v>
      </c>
      <c r="E31" s="6" t="s">
        <v>12</v>
      </c>
      <c r="F31" s="4">
        <v>5</v>
      </c>
      <c r="G31" s="4">
        <f t="shared" si="0"/>
        <v>3750</v>
      </c>
      <c r="H31" s="13">
        <v>145000</v>
      </c>
    </row>
    <row r="32" spans="1:8" x14ac:dyDescent="0.3">
      <c r="A32" s="3">
        <v>28</v>
      </c>
      <c r="B32" s="4" t="s">
        <v>36</v>
      </c>
      <c r="C32" s="5">
        <v>44752</v>
      </c>
      <c r="D32" s="4">
        <v>750</v>
      </c>
      <c r="E32" s="6" t="s">
        <v>12</v>
      </c>
      <c r="F32" s="4">
        <v>5</v>
      </c>
      <c r="G32" s="4">
        <f t="shared" si="0"/>
        <v>3750</v>
      </c>
      <c r="H32" s="13">
        <v>145000</v>
      </c>
    </row>
    <row r="33" spans="1:8" x14ac:dyDescent="0.3">
      <c r="A33" s="3">
        <v>29</v>
      </c>
      <c r="B33" s="4" t="s">
        <v>37</v>
      </c>
      <c r="C33" s="4" t="s">
        <v>31</v>
      </c>
      <c r="D33" s="4">
        <v>1000</v>
      </c>
      <c r="E33" s="6" t="s">
        <v>7</v>
      </c>
      <c r="F33" s="4">
        <v>0</v>
      </c>
      <c r="G33" s="4">
        <f t="shared" si="0"/>
        <v>0</v>
      </c>
      <c r="H33" s="13">
        <v>45000</v>
      </c>
    </row>
    <row r="34" spans="1:8" x14ac:dyDescent="0.3">
      <c r="A34" s="3">
        <v>30</v>
      </c>
      <c r="B34" s="4" t="s">
        <v>38</v>
      </c>
      <c r="C34" s="5">
        <v>44752</v>
      </c>
      <c r="D34" s="4">
        <v>1000</v>
      </c>
      <c r="E34" s="6" t="s">
        <v>12</v>
      </c>
      <c r="F34" s="4">
        <v>3</v>
      </c>
      <c r="G34" s="4">
        <f t="shared" si="0"/>
        <v>3000</v>
      </c>
      <c r="H34" s="13">
        <v>85000</v>
      </c>
    </row>
    <row r="35" spans="1:8" x14ac:dyDescent="0.3">
      <c r="A35" s="3">
        <v>31</v>
      </c>
      <c r="B35" s="4" t="s">
        <v>39</v>
      </c>
      <c r="C35" s="5">
        <v>44752</v>
      </c>
      <c r="D35" s="4">
        <v>1000</v>
      </c>
      <c r="E35" s="6" t="s">
        <v>7</v>
      </c>
      <c r="F35" s="4">
        <v>2</v>
      </c>
      <c r="G35" s="4">
        <f t="shared" si="0"/>
        <v>2000</v>
      </c>
      <c r="H35" s="13">
        <v>88000</v>
      </c>
    </row>
    <row r="36" spans="1:8" x14ac:dyDescent="0.3">
      <c r="A36" s="3">
        <v>32</v>
      </c>
      <c r="B36" s="4" t="s">
        <v>40</v>
      </c>
      <c r="C36" s="5">
        <v>44752</v>
      </c>
      <c r="D36" s="4">
        <v>250</v>
      </c>
      <c r="E36" s="6" t="s">
        <v>12</v>
      </c>
      <c r="F36" s="4">
        <v>24</v>
      </c>
      <c r="G36" s="4">
        <f t="shared" si="0"/>
        <v>6000</v>
      </c>
      <c r="H36" s="13">
        <f>103000/24</f>
        <v>4291.666666666667</v>
      </c>
    </row>
    <row r="37" spans="1:8" x14ac:dyDescent="0.3">
      <c r="A37" s="3">
        <v>33</v>
      </c>
      <c r="B37" s="4" t="s">
        <v>41</v>
      </c>
      <c r="C37" s="5">
        <v>44752</v>
      </c>
      <c r="D37" s="4">
        <v>15</v>
      </c>
      <c r="E37" s="6" t="s">
        <v>7</v>
      </c>
      <c r="F37" s="4">
        <v>300</v>
      </c>
      <c r="G37" s="4">
        <f t="shared" si="0"/>
        <v>4500</v>
      </c>
      <c r="H37" s="13">
        <f>66000/250</f>
        <v>264</v>
      </c>
    </row>
    <row r="38" spans="1:8" x14ac:dyDescent="0.3">
      <c r="A38" s="3">
        <v>34</v>
      </c>
      <c r="B38" s="4" t="s">
        <v>42</v>
      </c>
      <c r="C38" s="5">
        <v>44752</v>
      </c>
      <c r="D38" s="4">
        <v>15</v>
      </c>
      <c r="E38" s="6" t="s">
        <v>7</v>
      </c>
      <c r="F38" s="4">
        <v>300</v>
      </c>
      <c r="G38" s="4">
        <f t="shared" si="0"/>
        <v>4500</v>
      </c>
      <c r="H38" s="13">
        <f>55000/250</f>
        <v>220</v>
      </c>
    </row>
    <row r="39" spans="1:8" x14ac:dyDescent="0.3">
      <c r="A39" s="3">
        <v>35</v>
      </c>
      <c r="B39" s="4" t="s">
        <v>43</v>
      </c>
      <c r="C39" s="5">
        <v>44752</v>
      </c>
      <c r="D39" s="4">
        <v>10</v>
      </c>
      <c r="E39" s="6" t="s">
        <v>12</v>
      </c>
      <c r="F39" s="4">
        <v>300</v>
      </c>
      <c r="G39" s="4">
        <f t="shared" si="0"/>
        <v>3000</v>
      </c>
      <c r="H39" s="13">
        <f>66500/250</f>
        <v>266</v>
      </c>
    </row>
    <row r="40" spans="1:8" x14ac:dyDescent="0.3">
      <c r="A40" s="3">
        <v>36</v>
      </c>
      <c r="B40" s="4" t="s">
        <v>44</v>
      </c>
      <c r="C40" s="5">
        <v>44752</v>
      </c>
      <c r="D40" s="4">
        <v>40</v>
      </c>
      <c r="E40" s="6" t="s">
        <v>45</v>
      </c>
      <c r="F40" s="4">
        <v>5</v>
      </c>
      <c r="G40" s="4">
        <f t="shared" si="0"/>
        <v>200</v>
      </c>
      <c r="H40" s="13">
        <f>27000/40</f>
        <v>675</v>
      </c>
    </row>
    <row r="41" spans="1:8" x14ac:dyDescent="0.3">
      <c r="A41" s="3">
        <v>37</v>
      </c>
      <c r="B41" s="4" t="s">
        <v>46</v>
      </c>
      <c r="C41" s="5">
        <v>44752</v>
      </c>
      <c r="D41" s="4">
        <v>40</v>
      </c>
      <c r="E41" s="6" t="s">
        <v>45</v>
      </c>
      <c r="F41" s="4">
        <v>1</v>
      </c>
      <c r="G41" s="4">
        <f t="shared" si="0"/>
        <v>40</v>
      </c>
      <c r="H41" s="13">
        <f>220000/40</f>
        <v>5500</v>
      </c>
    </row>
    <row r="42" spans="1:8" x14ac:dyDescent="0.3">
      <c r="A42" s="3">
        <v>38</v>
      </c>
      <c r="B42" s="4" t="s">
        <v>47</v>
      </c>
      <c r="C42" s="4" t="s">
        <v>31</v>
      </c>
      <c r="D42" s="4">
        <v>40</v>
      </c>
      <c r="E42" s="6" t="s">
        <v>45</v>
      </c>
      <c r="F42" s="4">
        <v>0</v>
      </c>
      <c r="G42" s="4">
        <f t="shared" si="0"/>
        <v>0</v>
      </c>
      <c r="H42" s="13">
        <f>220000/40</f>
        <v>5500</v>
      </c>
    </row>
    <row r="43" spans="1:8" x14ac:dyDescent="0.3">
      <c r="A43" s="3">
        <v>39</v>
      </c>
      <c r="B43" s="4" t="s">
        <v>48</v>
      </c>
      <c r="C43" s="4" t="s">
        <v>31</v>
      </c>
      <c r="D43" s="4">
        <v>40</v>
      </c>
      <c r="E43" s="6" t="s">
        <v>45</v>
      </c>
      <c r="F43" s="4">
        <v>0</v>
      </c>
      <c r="G43" s="4">
        <f t="shared" si="0"/>
        <v>0</v>
      </c>
      <c r="H43" s="13">
        <f>220000/40</f>
        <v>5500</v>
      </c>
    </row>
    <row r="44" spans="1:8" x14ac:dyDescent="0.3">
      <c r="A44" s="3">
        <v>40</v>
      </c>
      <c r="B44" s="4" t="s">
        <v>49</v>
      </c>
      <c r="C44" s="4" t="s">
        <v>31</v>
      </c>
      <c r="D44" s="4">
        <v>40</v>
      </c>
      <c r="E44" s="6" t="s">
        <v>45</v>
      </c>
      <c r="F44" s="4">
        <v>0</v>
      </c>
      <c r="G44" s="4">
        <f t="shared" si="0"/>
        <v>0</v>
      </c>
      <c r="H44" s="13">
        <f>220000/40</f>
        <v>5500</v>
      </c>
    </row>
    <row r="45" spans="1:8" x14ac:dyDescent="0.3">
      <c r="A45" s="3">
        <v>41</v>
      </c>
      <c r="B45" s="4" t="s">
        <v>50</v>
      </c>
      <c r="C45" s="4" t="s">
        <v>31</v>
      </c>
      <c r="D45" s="4">
        <v>40</v>
      </c>
      <c r="E45" s="6" t="s">
        <v>45</v>
      </c>
      <c r="F45" s="4">
        <v>0</v>
      </c>
      <c r="G45" s="4">
        <f t="shared" si="0"/>
        <v>0</v>
      </c>
      <c r="H45" s="13">
        <f>220000/40</f>
        <v>5500</v>
      </c>
    </row>
    <row r="46" spans="1:8" x14ac:dyDescent="0.3">
      <c r="A46" s="3">
        <v>42</v>
      </c>
      <c r="B46" s="4" t="s">
        <v>51</v>
      </c>
      <c r="C46" s="4" t="s">
        <v>31</v>
      </c>
      <c r="D46" s="4">
        <v>1000</v>
      </c>
      <c r="E46" s="6" t="s">
        <v>12</v>
      </c>
      <c r="F46" s="4">
        <v>0</v>
      </c>
      <c r="G46" s="4">
        <f t="shared" si="0"/>
        <v>0</v>
      </c>
      <c r="H46" s="13">
        <v>235000</v>
      </c>
    </row>
    <row r="47" spans="1:8" x14ac:dyDescent="0.3">
      <c r="A47" s="3">
        <v>43</v>
      </c>
      <c r="B47" s="4" t="s">
        <v>52</v>
      </c>
      <c r="C47" s="5" t="s">
        <v>31</v>
      </c>
      <c r="D47" s="4">
        <v>1000</v>
      </c>
      <c r="E47" s="6" t="s">
        <v>12</v>
      </c>
      <c r="F47" s="4">
        <v>0</v>
      </c>
      <c r="G47" s="4">
        <f t="shared" si="0"/>
        <v>0</v>
      </c>
      <c r="H47" s="13">
        <v>235000</v>
      </c>
    </row>
    <row r="48" spans="1:8" x14ac:dyDescent="0.3">
      <c r="A48" s="3">
        <v>44</v>
      </c>
      <c r="B48" s="4" t="s">
        <v>53</v>
      </c>
      <c r="C48" s="4" t="s">
        <v>31</v>
      </c>
      <c r="D48" s="4">
        <v>1000</v>
      </c>
      <c r="E48" s="6" t="s">
        <v>12</v>
      </c>
      <c r="F48" s="4">
        <v>0</v>
      </c>
      <c r="G48" s="4">
        <f t="shared" si="0"/>
        <v>0</v>
      </c>
      <c r="H48" s="13">
        <v>255000</v>
      </c>
    </row>
    <row r="49" spans="1:8" x14ac:dyDescent="0.3">
      <c r="A49" s="3">
        <v>45</v>
      </c>
      <c r="B49" s="4" t="s">
        <v>54</v>
      </c>
      <c r="C49" s="5">
        <v>44752</v>
      </c>
      <c r="D49" s="4">
        <v>1000</v>
      </c>
      <c r="E49" s="6" t="s">
        <v>7</v>
      </c>
      <c r="F49" s="4">
        <v>2</v>
      </c>
      <c r="G49" s="4">
        <f t="shared" si="0"/>
        <v>2000</v>
      </c>
      <c r="H49" s="13">
        <v>44200</v>
      </c>
    </row>
    <row r="50" spans="1:8" x14ac:dyDescent="0.3">
      <c r="A50" s="3">
        <v>46</v>
      </c>
      <c r="B50" s="4" t="s">
        <v>55</v>
      </c>
      <c r="C50" s="5">
        <v>44752</v>
      </c>
      <c r="D50" s="4">
        <v>1000</v>
      </c>
      <c r="E50" s="6" t="s">
        <v>12</v>
      </c>
      <c r="F50" s="4">
        <v>36</v>
      </c>
      <c r="G50" s="4">
        <f t="shared" si="0"/>
        <v>36000</v>
      </c>
      <c r="H50" s="13">
        <f>143000/12</f>
        <v>11916.666666666666</v>
      </c>
    </row>
    <row r="51" spans="1:8" x14ac:dyDescent="0.3">
      <c r="A51" s="3">
        <v>47</v>
      </c>
      <c r="B51" s="4" t="s">
        <v>56</v>
      </c>
      <c r="C51" s="5">
        <v>44752</v>
      </c>
      <c r="D51" s="4">
        <v>1000</v>
      </c>
      <c r="E51" s="6" t="s">
        <v>7</v>
      </c>
      <c r="F51" s="4">
        <v>20</v>
      </c>
      <c r="G51" s="4">
        <f t="shared" si="0"/>
        <v>20000</v>
      </c>
      <c r="H51" s="13">
        <v>20000</v>
      </c>
    </row>
    <row r="52" spans="1:8" x14ac:dyDescent="0.3">
      <c r="A52" s="3">
        <v>48</v>
      </c>
      <c r="B52" s="4" t="s">
        <v>57</v>
      </c>
      <c r="C52" s="4" t="s">
        <v>31</v>
      </c>
      <c r="D52" s="4">
        <v>1000</v>
      </c>
      <c r="E52" s="6" t="s">
        <v>7</v>
      </c>
      <c r="F52" s="4">
        <v>0</v>
      </c>
      <c r="G52" s="4">
        <f t="shared" si="0"/>
        <v>0</v>
      </c>
      <c r="H52" s="13">
        <v>40500</v>
      </c>
    </row>
    <row r="53" spans="1:8" x14ac:dyDescent="0.3">
      <c r="A53" s="3">
        <v>49</v>
      </c>
      <c r="B53" s="4" t="s">
        <v>58</v>
      </c>
      <c r="C53" s="4" t="s">
        <v>31</v>
      </c>
      <c r="D53" s="4">
        <v>1000</v>
      </c>
      <c r="E53" s="6" t="s">
        <v>7</v>
      </c>
      <c r="F53" s="4">
        <v>0</v>
      </c>
      <c r="G53" s="4">
        <f t="shared" si="0"/>
        <v>0</v>
      </c>
      <c r="H53" s="13">
        <v>40500</v>
      </c>
    </row>
    <row r="54" spans="1:8" x14ac:dyDescent="0.3">
      <c r="A54" s="3">
        <v>50</v>
      </c>
      <c r="B54" s="4" t="s">
        <v>59</v>
      </c>
      <c r="C54" s="4" t="s">
        <v>31</v>
      </c>
      <c r="D54" s="4">
        <v>1000</v>
      </c>
      <c r="E54" s="6" t="s">
        <v>7</v>
      </c>
      <c r="F54" s="4">
        <v>0</v>
      </c>
      <c r="G54" s="4">
        <f t="shared" si="0"/>
        <v>0</v>
      </c>
      <c r="H54" s="13">
        <v>40500</v>
      </c>
    </row>
    <row r="55" spans="1:8" x14ac:dyDescent="0.3">
      <c r="A55" s="3">
        <v>51</v>
      </c>
      <c r="B55" s="4" t="s">
        <v>60</v>
      </c>
      <c r="C55" s="4" t="s">
        <v>31</v>
      </c>
      <c r="D55" s="4">
        <v>1000</v>
      </c>
      <c r="E55" s="6" t="s">
        <v>7</v>
      </c>
      <c r="F55" s="4">
        <v>0</v>
      </c>
      <c r="G55" s="4">
        <f t="shared" si="0"/>
        <v>0</v>
      </c>
      <c r="H55" s="13">
        <v>40500</v>
      </c>
    </row>
    <row r="56" spans="1:8" x14ac:dyDescent="0.3">
      <c r="A56" s="3">
        <v>52</v>
      </c>
      <c r="B56" s="4" t="s">
        <v>61</v>
      </c>
      <c r="C56" s="4" t="s">
        <v>31</v>
      </c>
      <c r="D56" s="4">
        <v>1000</v>
      </c>
      <c r="E56" s="6" t="s">
        <v>7</v>
      </c>
      <c r="F56" s="4">
        <v>0</v>
      </c>
      <c r="G56" s="4">
        <f t="shared" si="0"/>
        <v>0</v>
      </c>
      <c r="H56" s="13">
        <v>40500</v>
      </c>
    </row>
    <row r="57" spans="1:8" x14ac:dyDescent="0.3">
      <c r="A57" s="3">
        <v>53</v>
      </c>
      <c r="B57" s="4" t="s">
        <v>62</v>
      </c>
      <c r="C57" s="4" t="s">
        <v>31</v>
      </c>
      <c r="D57" s="4">
        <v>1000</v>
      </c>
      <c r="E57" s="6" t="s">
        <v>7</v>
      </c>
      <c r="F57" s="4">
        <v>0</v>
      </c>
      <c r="G57" s="4">
        <f t="shared" si="0"/>
        <v>0</v>
      </c>
      <c r="H57" s="13">
        <v>40500</v>
      </c>
    </row>
    <row r="58" spans="1:8" x14ac:dyDescent="0.3">
      <c r="A58" s="3">
        <v>54</v>
      </c>
      <c r="B58" s="4" t="s">
        <v>63</v>
      </c>
      <c r="C58" s="4" t="s">
        <v>31</v>
      </c>
      <c r="D58" s="4">
        <v>1000</v>
      </c>
      <c r="E58" s="6" t="s">
        <v>7</v>
      </c>
      <c r="F58" s="4">
        <v>0</v>
      </c>
      <c r="G58" s="4">
        <f t="shared" si="0"/>
        <v>0</v>
      </c>
      <c r="H58" s="13">
        <v>40500</v>
      </c>
    </row>
    <row r="59" spans="1:8" x14ac:dyDescent="0.3">
      <c r="A59" s="3">
        <v>55</v>
      </c>
      <c r="B59" s="4" t="s">
        <v>64</v>
      </c>
      <c r="C59" s="4" t="s">
        <v>31</v>
      </c>
      <c r="D59" s="4">
        <v>1000</v>
      </c>
      <c r="E59" s="6" t="s">
        <v>7</v>
      </c>
      <c r="F59" s="4">
        <v>0</v>
      </c>
      <c r="G59" s="4">
        <f t="shared" si="0"/>
        <v>0</v>
      </c>
      <c r="H59" s="13">
        <v>40500</v>
      </c>
    </row>
    <row r="60" spans="1:8" x14ac:dyDescent="0.3">
      <c r="A60" s="3">
        <v>56</v>
      </c>
      <c r="B60" s="4" t="s">
        <v>65</v>
      </c>
      <c r="C60" s="5">
        <v>44752</v>
      </c>
      <c r="D60" s="4">
        <v>1</v>
      </c>
      <c r="E60" s="6" t="s">
        <v>45</v>
      </c>
      <c r="F60" s="4">
        <v>5000</v>
      </c>
      <c r="G60" s="4">
        <f t="shared" si="0"/>
        <v>5000</v>
      </c>
      <c r="H60" s="13">
        <v>1300</v>
      </c>
    </row>
    <row r="61" spans="1:8" x14ac:dyDescent="0.3">
      <c r="A61" s="3">
        <v>57</v>
      </c>
      <c r="B61" s="4" t="s">
        <v>66</v>
      </c>
      <c r="C61" s="5">
        <v>44752</v>
      </c>
      <c r="D61" s="4">
        <v>1</v>
      </c>
      <c r="E61" s="6" t="s">
        <v>45</v>
      </c>
      <c r="F61" s="4">
        <v>5000</v>
      </c>
      <c r="G61" s="4">
        <f t="shared" si="0"/>
        <v>5000</v>
      </c>
      <c r="H61" s="13">
        <v>2300</v>
      </c>
    </row>
    <row r="62" spans="1:8" x14ac:dyDescent="0.3">
      <c r="A62" s="3">
        <v>58</v>
      </c>
      <c r="B62" s="4" t="s">
        <v>67</v>
      </c>
      <c r="C62" s="5">
        <v>44752</v>
      </c>
      <c r="D62" s="4">
        <v>650</v>
      </c>
      <c r="E62" s="6" t="s">
        <v>12</v>
      </c>
      <c r="F62" s="4">
        <v>2</v>
      </c>
      <c r="G62" s="4">
        <f t="shared" si="0"/>
        <v>1300</v>
      </c>
      <c r="H62" s="13">
        <v>61000</v>
      </c>
    </row>
    <row r="63" spans="1:8" x14ac:dyDescent="0.3">
      <c r="A63" s="3">
        <v>59</v>
      </c>
      <c r="B63" s="4" t="s">
        <v>68</v>
      </c>
      <c r="C63" s="5">
        <v>44752</v>
      </c>
      <c r="D63" s="4">
        <v>16000</v>
      </c>
      <c r="E63" s="6" t="s">
        <v>12</v>
      </c>
      <c r="F63" s="4">
        <v>12</v>
      </c>
      <c r="G63" s="4">
        <f t="shared" si="0"/>
        <v>192000</v>
      </c>
      <c r="H63" s="13">
        <v>22000</v>
      </c>
    </row>
    <row r="64" spans="1:8" x14ac:dyDescent="0.3">
      <c r="A64" s="3">
        <v>60</v>
      </c>
      <c r="B64" s="4" t="s">
        <v>69</v>
      </c>
      <c r="C64" s="5">
        <v>44752</v>
      </c>
      <c r="D64" s="4">
        <v>370</v>
      </c>
      <c r="E64" s="6" t="s">
        <v>12</v>
      </c>
      <c r="F64" s="4">
        <v>15</v>
      </c>
      <c r="G64" s="4">
        <f t="shared" si="0"/>
        <v>5550</v>
      </c>
      <c r="H64" s="13">
        <v>11400</v>
      </c>
    </row>
    <row r="65" spans="1:8" x14ac:dyDescent="0.3">
      <c r="A65" s="3">
        <v>61</v>
      </c>
      <c r="B65" s="4" t="s">
        <v>70</v>
      </c>
      <c r="C65" s="5">
        <v>44752</v>
      </c>
      <c r="D65" s="4">
        <v>370</v>
      </c>
      <c r="E65" s="6" t="s">
        <v>12</v>
      </c>
      <c r="F65" s="4">
        <v>0</v>
      </c>
      <c r="G65" s="4">
        <f t="shared" si="0"/>
        <v>0</v>
      </c>
      <c r="H65" s="13">
        <v>17000</v>
      </c>
    </row>
  </sheetData>
  <mergeCells count="1">
    <mergeCell ref="A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Florentino</dc:creator>
  <cp:lastModifiedBy>Juan Florentino</cp:lastModifiedBy>
  <dcterms:created xsi:type="dcterms:W3CDTF">2025-09-21T10:34:16Z</dcterms:created>
  <dcterms:modified xsi:type="dcterms:W3CDTF">2025-11-19T17:26:11Z</dcterms:modified>
</cp:coreProperties>
</file>